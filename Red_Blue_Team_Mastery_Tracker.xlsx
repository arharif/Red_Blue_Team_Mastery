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harif\Downloads\"/>
    </mc:Choice>
  </mc:AlternateContent>
  <xr:revisionPtr revIDLastSave="0" documentId="13_ncr:1_{C3497920-59C3-4570-9EEC-88043C36BD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Trac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C17" i="1"/>
  <c r="D17" i="1" s="1"/>
  <c r="B17" i="1"/>
  <c r="C16" i="1"/>
  <c r="B16" i="1"/>
  <c r="C15" i="1"/>
  <c r="B15" i="1"/>
  <c r="C14" i="1"/>
  <c r="B14" i="1"/>
  <c r="C13" i="1"/>
  <c r="B13" i="1"/>
  <c r="M6" i="1"/>
  <c r="J6" i="1"/>
  <c r="G6" i="1"/>
  <c r="D6" i="1"/>
  <c r="A6" i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D13" i="1" l="1"/>
  <c r="D15" i="1"/>
  <c r="D16" i="1"/>
  <c r="D14" i="1"/>
</calcChain>
</file>

<file path=xl/sharedStrings.xml><?xml version="1.0" encoding="utf-8"?>
<sst xmlns="http://schemas.openxmlformats.org/spreadsheetml/2006/main" count="184" uniqueCount="69">
  <si>
    <t>MODULES</t>
  </si>
  <si>
    <t>DONE</t>
  </si>
  <si>
    <t>PROGRESS</t>
  </si>
  <si>
    <t>Capstone</t>
  </si>
  <si>
    <t>In Progress</t>
  </si>
  <si>
    <t>Not Started</t>
  </si>
  <si>
    <t>#</t>
  </si>
  <si>
    <t>LEARNING TRACK</t>
  </si>
  <si>
    <t>MODULE / CORE SKILL</t>
  </si>
  <si>
    <t>LEVEL</t>
  </si>
  <si>
    <t>FREE-LAB SOURCE</t>
  </si>
  <si>
    <t>A · Foundations</t>
  </si>
  <si>
    <t>Cybersecurity Foundations &amp; Ethical Operations</t>
  </si>
  <si>
    <t>Foundation</t>
  </si>
  <si>
    <t>https://tryhackme.com/resources/blog/free-tryhackme-training-to-learn-cyber-security-in-2026</t>
  </si>
  <si>
    <t>Networking &amp; Enterprise Network Security</t>
  </si>
  <si>
    <t>Windows, Linux &amp; Active Directory Identity</t>
  </si>
  <si>
    <t>Python, PowerShell &amp; Security Automation</t>
  </si>
  <si>
    <t>Cryptography, Threat Modeling &amp; Vulnerabilities</t>
  </si>
  <si>
    <t>B · Red Team</t>
  </si>
  <si>
    <t>Reconnaissance, OSINT &amp; Attack Surface</t>
  </si>
  <si>
    <t>Intermediate</t>
  </si>
  <si>
    <t>https://tryhackme.com/resources/blog/free-red-teaming-training-on-tryhackme-to-build-your-skills-in-2026</t>
  </si>
  <si>
    <t>Network Pentesting &amp; Enumeration</t>
  </si>
  <si>
    <t>Web Application &amp; API Penetration Testing</t>
  </si>
  <si>
    <t>Active Directory Attack Paths</t>
  </si>
  <si>
    <t>Advanced</t>
  </si>
  <si>
    <t>Windows &amp; Linux Privilege Escalation</t>
  </si>
  <si>
    <t>Lateral Movement &amp; Internal Attack Paths</t>
  </si>
  <si>
    <t>Offensive Cloud, Kubernetes &amp; DevSecOps</t>
  </si>
  <si>
    <t>Exploit Development &amp; Reverse Engineering</t>
  </si>
  <si>
    <t>Wireless, Mobile, IoT &amp; OT Security</t>
  </si>
  <si>
    <t>Advanced Red Team &amp; Adversary Emulation</t>
  </si>
  <si>
    <t>C · Blue Team</t>
  </si>
  <si>
    <t>SOC Monitoring &amp; Incident Triage</t>
  </si>
  <si>
    <t>https://tryhackme.com/resources/blog/free-defensive-security-training</t>
  </si>
  <si>
    <t>SIEM, Logs &amp; Detection Engineering</t>
  </si>
  <si>
    <t>EDR/XDR &amp; Endpoint Threat Analysis</t>
  </si>
  <si>
    <t>Network Security Monitoring &amp; IDS/IPS</t>
  </si>
  <si>
    <t>Identity Threat Detection &amp; Email Defense</t>
  </si>
  <si>
    <t>Vulnerability Management &amp; Exposure Reduction</t>
  </si>
  <si>
    <t>Threat Intelligence &amp; Threat Hunting</t>
  </si>
  <si>
    <t>Digital Forensics, Malware &amp; DFIR</t>
  </si>
  <si>
    <t>Cloud SOC, Containers &amp; Secure DevSecOps</t>
  </si>
  <si>
    <t>Incident Response &amp; Ransomware Resilience</t>
  </si>
  <si>
    <t>D · Purple &amp; AI</t>
  </si>
  <si>
    <t>Purple Team &amp; Continuous Security Validation</t>
  </si>
  <si>
    <t>https://tryhackme.com/resources/blog/free_path</t>
  </si>
  <si>
    <t>AI Red Teaming, LLM &amp; Agentic AI Security</t>
  </si>
  <si>
    <t>AI-Enhanced SOC, SOAR &amp; Zero Trust</t>
  </si>
  <si>
    <t>E · Capstone</t>
  </si>
  <si>
    <t>Full Enterprise Red vs Blue Simulation</t>
  </si>
  <si>
    <t>Cybersecurity Leadership &amp; Professional Mastery</t>
  </si>
  <si>
    <t>LEARNING TRACKER</t>
  </si>
  <si>
    <t>STATUS</t>
  </si>
  <si>
    <t>LEARNING EXECUTIVE DASHBOARD</t>
  </si>
  <si>
    <t>One status update. One source of truth. Full portfolio visibility.</t>
  </si>
  <si>
    <t>TOTAL MODULES</t>
  </si>
  <si>
    <t>COMPLETED</t>
  </si>
  <si>
    <t>IN PROGRESS</t>
  </si>
  <si>
    <t>NOT STARTED</t>
  </si>
  <si>
    <t>OVERALL COMPLETION</t>
  </si>
  <si>
    <t>01  /  COMPLETION BY LEARNING TRACK</t>
  </si>
  <si>
    <t>02  /  STATUS DISTRIBUTION</t>
  </si>
  <si>
    <t>COMPLETION</t>
  </si>
  <si>
    <t>Done</t>
  </si>
  <si>
    <t>TRACK COMPLETION</t>
  </si>
  <si>
    <t>MODULE STATUS MIX</t>
  </si>
  <si>
    <t>Update STATUS only - progress and the executive dashboard refresh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</si>
</sst>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name val="Carlito"/>
    </font>
    <font>
      <sz val="11"/>
      <color rgb="FF1F2937"/>
      <name val="Aptos"/>
    </font>
    <font>
      <b/>
      <sz val="22"/>
      <color rgb="FFFFFFFF"/>
      <name val="Aptos"/>
    </font>
    <font>
      <b/>
      <sz val="24"/>
      <color rgb="FFFFFFFF"/>
      <name val="Aptos"/>
      <family val="2"/>
    </font>
    <font>
      <sz val="24"/>
      <name val="Carlito"/>
    </font>
    <font>
      <sz val="24"/>
      <color rgb="FF667085"/>
      <name val="Aptos"/>
      <family val="2"/>
    </font>
    <font>
      <sz val="24"/>
      <color rgb="FF1F2937"/>
      <name val="Aptos"/>
      <family val="2"/>
    </font>
    <font>
      <b/>
      <sz val="24"/>
      <color rgb="FF2E7D32"/>
      <name val="Aptos"/>
      <family val="2"/>
    </font>
    <font>
      <b/>
      <sz val="24"/>
      <color rgb="FFC62828"/>
      <name val="Aptos"/>
      <family val="2"/>
    </font>
    <font>
      <b/>
      <sz val="24"/>
      <color rgb="FF2F75B5"/>
      <name val="Aptos"/>
      <family val="2"/>
    </font>
    <font>
      <b/>
      <sz val="24"/>
      <color rgb="FF7030A0"/>
      <name val="Aptos"/>
      <family val="2"/>
    </font>
    <font>
      <b/>
      <sz val="24"/>
      <color rgb="FFB38600"/>
      <name val="Aptos"/>
      <family val="2"/>
    </font>
    <font>
      <sz val="12"/>
      <name val="Carlito"/>
    </font>
    <font>
      <sz val="12"/>
      <color rgb="FF1F2937"/>
      <name val="Aptos"/>
      <family val="2"/>
    </font>
    <font>
      <b/>
      <sz val="12"/>
      <color rgb="FF17365D"/>
      <name val="Aptos"/>
      <family val="2"/>
    </font>
    <font>
      <b/>
      <sz val="12"/>
      <color rgb="FF2E7D32"/>
      <name val="Aptos"/>
      <family val="2"/>
    </font>
    <font>
      <b/>
      <sz val="12"/>
      <color rgb="FFFFFFFF"/>
      <name val="Aptos"/>
      <family val="2"/>
    </font>
    <font>
      <sz val="12"/>
      <color rgb="FF2E7D32"/>
      <name val="Aptos"/>
      <family val="2"/>
    </font>
    <font>
      <b/>
      <sz val="12"/>
      <color rgb="FFC62828"/>
      <name val="Aptos"/>
      <family val="2"/>
    </font>
    <font>
      <sz val="12"/>
      <color rgb="FFC62828"/>
      <name val="Aptos"/>
      <family val="2"/>
    </font>
    <font>
      <b/>
      <sz val="12"/>
      <color rgb="FF2F75B5"/>
      <name val="Aptos"/>
      <family val="2"/>
    </font>
    <font>
      <sz val="12"/>
      <color rgb="FF2F75B5"/>
      <name val="Aptos"/>
      <family val="2"/>
    </font>
    <font>
      <b/>
      <sz val="12"/>
      <color rgb="FF7030A0"/>
      <name val="Aptos"/>
      <family val="2"/>
    </font>
    <font>
      <sz val="12"/>
      <color rgb="FF7030A0"/>
      <name val="Aptos"/>
      <family val="2"/>
    </font>
    <font>
      <b/>
      <sz val="12"/>
      <color rgb="FFB38600"/>
      <name val="Aptos"/>
      <family val="2"/>
    </font>
    <font>
      <sz val="12"/>
      <color rgb="FFB38600"/>
      <name val="Aptos"/>
      <family val="2"/>
    </font>
    <font>
      <sz val="16"/>
      <color rgb="FF667085"/>
      <name val="Aptos"/>
      <family val="2"/>
    </font>
    <font>
      <b/>
      <sz val="14"/>
      <color rgb="FFFFFFFF"/>
      <name val="Aptos"/>
      <family val="2"/>
    </font>
    <font>
      <b/>
      <sz val="14"/>
      <color rgb="FF17365D"/>
      <name val="Aptos"/>
      <family val="2"/>
    </font>
    <font>
      <sz val="14"/>
      <color rgb="FF1F2937"/>
      <name val="Aptos"/>
      <family val="2"/>
    </font>
    <font>
      <b/>
      <sz val="16"/>
      <color rgb="FF17365D"/>
      <name val="Aptos"/>
      <family val="2"/>
    </font>
    <font>
      <b/>
      <sz val="16"/>
      <color rgb="FF2E7D32"/>
      <name val="Aptos"/>
      <family val="2"/>
    </font>
    <font>
      <b/>
      <sz val="24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DE3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0" xfId="0" applyFont="1" applyFill="1"/>
    <xf numFmtId="0" fontId="4" fillId="0" borderId="0" xfId="0" applyFon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7" fillId="7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9" fontId="6" fillId="5" borderId="0" xfId="0" applyNumberFormat="1" applyFont="1" applyFill="1" applyAlignment="1">
      <alignment horizontal="center" wrapText="1"/>
    </xf>
    <xf numFmtId="0" fontId="8" fillId="8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10" fillId="9" borderId="0" xfId="0" applyFont="1" applyFill="1" applyAlignment="1">
      <alignment wrapText="1"/>
    </xf>
    <xf numFmtId="0" fontId="11" fillId="10" borderId="0" xfId="0" applyFont="1" applyFill="1" applyAlignment="1">
      <alignment wrapText="1"/>
    </xf>
    <xf numFmtId="0" fontId="12" fillId="0" borderId="0" xfId="0" applyFont="1"/>
    <xf numFmtId="0" fontId="13" fillId="3" borderId="0" xfId="0" applyFont="1" applyFill="1"/>
    <xf numFmtId="0" fontId="16" fillId="6" borderId="0" xfId="0" applyFont="1" applyFill="1"/>
    <xf numFmtId="0" fontId="15" fillId="7" borderId="0" xfId="0" applyFont="1" applyFill="1"/>
    <xf numFmtId="0" fontId="17" fillId="7" borderId="0" xfId="0" applyFont="1" applyFill="1"/>
    <xf numFmtId="9" fontId="17" fillId="7" borderId="0" xfId="0" applyNumberFormat="1" applyFont="1" applyFill="1"/>
    <xf numFmtId="0" fontId="18" fillId="8" borderId="0" xfId="0" applyFont="1" applyFill="1"/>
    <xf numFmtId="0" fontId="19" fillId="8" borderId="0" xfId="0" applyFont="1" applyFill="1"/>
    <xf numFmtId="9" fontId="19" fillId="8" borderId="0" xfId="0" applyNumberFormat="1" applyFont="1" applyFill="1"/>
    <xf numFmtId="0" fontId="20" fillId="4" borderId="0" xfId="0" applyFont="1" applyFill="1"/>
    <xf numFmtId="0" fontId="21" fillId="4" borderId="0" xfId="0" applyFont="1" applyFill="1"/>
    <xf numFmtId="9" fontId="21" fillId="4" borderId="0" xfId="0" applyNumberFormat="1" applyFont="1" applyFill="1"/>
    <xf numFmtId="0" fontId="22" fillId="9" borderId="0" xfId="0" applyFont="1" applyFill="1"/>
    <xf numFmtId="0" fontId="23" fillId="9" borderId="0" xfId="0" applyFont="1" applyFill="1"/>
    <xf numFmtId="9" fontId="23" fillId="9" borderId="0" xfId="0" applyNumberFormat="1" applyFont="1" applyFill="1"/>
    <xf numFmtId="0" fontId="24" fillId="10" borderId="0" xfId="0" applyFont="1" applyFill="1"/>
    <xf numFmtId="0" fontId="25" fillId="10" borderId="0" xfId="0" applyFont="1" applyFill="1"/>
    <xf numFmtId="9" fontId="25" fillId="10" borderId="0" xfId="0" applyNumberFormat="1" applyFont="1" applyFill="1"/>
    <xf numFmtId="0" fontId="29" fillId="3" borderId="0" xfId="0" applyFont="1" applyFill="1"/>
    <xf numFmtId="0" fontId="27" fillId="6" borderId="0" xfId="0" applyFont="1" applyFill="1"/>
    <xf numFmtId="0" fontId="32" fillId="11" borderId="0" xfId="0" applyFont="1" applyFill="1"/>
    <xf numFmtId="0" fontId="27" fillId="2" borderId="1" xfId="0" applyFont="1" applyFill="1" applyBorder="1" applyAlignment="1">
      <alignment horizontal="center" vertical="center"/>
    </xf>
    <xf numFmtId="0" fontId="28" fillId="3" borderId="1" xfId="0" applyFont="1" applyFill="1" applyBorder="1"/>
    <xf numFmtId="0" fontId="14" fillId="3" borderId="1" xfId="0" applyFont="1" applyFill="1" applyBorder="1"/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9" fontId="30" fillId="3" borderId="1" xfId="0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667085"/>
      </font>
      <fill>
        <patternFill patternType="solid">
          <fgColor indexed="64"/>
          <bgColor rgb="FFEEF2F6"/>
        </patternFill>
      </fill>
    </dxf>
    <dxf>
      <font>
        <b/>
        <i val="0"/>
        <color rgb="FF8A5A00"/>
      </font>
      <fill>
        <patternFill patternType="solid">
          <fgColor indexed="64"/>
          <bgColor rgb="FFFFF2CC"/>
        </patternFill>
      </fill>
    </dxf>
    <dxf>
      <font>
        <b/>
        <i val="0"/>
        <color rgb="FF2E7D32"/>
      </font>
      <fill>
        <patternFill patternType="solid">
          <fgColor indexed="64"/>
          <bgColor rgb="FFE2F0D9"/>
        </patternFill>
      </fill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  <alignment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numFmt numFmtId="13" formatCode="0%"/>
      <fill>
        <patternFill patternType="solid">
          <fgColor indexed="64"/>
          <bgColor rgb="FFF3F6F9"/>
        </patternFill>
      </fill>
      <alignment horizontal="center"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D9EAF7"/>
        </patternFill>
      </fill>
      <alignment horizontal="center"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  <alignment horizontal="center"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  <alignment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  <alignment wrapText="1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strike val="0"/>
        <outline val="0"/>
        <shadow val="0"/>
        <u val="none"/>
        <vertAlign val="baseline"/>
        <sz val="24"/>
        <color rgb="FF1F2937"/>
        <name val="Aptos"/>
        <scheme val="none"/>
      </font>
      <fill>
        <patternFill patternType="solid">
          <fgColor indexed="64"/>
          <bgColor rgb="FFFFFFFF"/>
        </patternFill>
      </fill>
    </dxf>
    <dxf>
      <font>
        <b/>
        <strike val="0"/>
        <outline val="0"/>
        <shadow val="0"/>
        <u val="none"/>
        <vertAlign val="baseline"/>
        <sz val="24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Completion by Learning Track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1858836494969314"/>
          <c:y val="0.11538325584874699"/>
          <c:w val="0.74289227785728496"/>
          <c:h val="0.84285686101316215"/>
        </c:manualLayout>
      </c:layout>
      <c:barChart>
        <c:barDir val="bar"/>
        <c:grouping val="clustered"/>
        <c:varyColors val="0"/>
        <c:ser>
          <c:idx val="0"/>
          <c:order val="0"/>
          <c:tx>
            <c:v>Completion</c:v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20-4CEB-B826-CEC33D40A3FD}"/>
              </c:ext>
            </c:extLst>
          </c:dPt>
          <c:dPt>
            <c:idx val="1"/>
            <c:invertIfNegative val="0"/>
            <c:bubble3D val="0"/>
            <c:spPr>
              <a:solidFill>
                <a:srgbClr val="C628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20-4CEB-B826-CEC33D40A3FD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20-4CEB-B826-CEC33D40A3FD}"/>
              </c:ext>
            </c:extLst>
          </c:dPt>
          <c:dPt>
            <c:idx val="4"/>
            <c:invertIfNegative val="0"/>
            <c:bubble3D val="0"/>
            <c:spPr>
              <a:solidFill>
                <a:srgbClr val="F2C9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20-4CEB-B826-CEC33D40A3FD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Dashboard!$A$13:$A$17</c:f>
              <c:strCache>
                <c:ptCount val="5"/>
                <c:pt idx="0">
                  <c:v>A · Foundations</c:v>
                </c:pt>
                <c:pt idx="1">
                  <c:v>B · Red Team</c:v>
                </c:pt>
                <c:pt idx="2">
                  <c:v>C · Blue Team</c:v>
                </c:pt>
                <c:pt idx="3">
                  <c:v>D · Purple &amp; AI</c:v>
                </c:pt>
                <c:pt idx="4">
                  <c:v>E · Capstone</c:v>
                </c:pt>
              </c:strCache>
            </c:strRef>
          </c:cat>
          <c:val>
            <c:numRef>
              <c:f>Dashboard!$D$13:$D$17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0-4CEB-B826-CEC33D40A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50592"/>
        <c:axId val="66551072"/>
      </c:barChart>
      <c:catAx>
        <c:axId val="66550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fr-FR"/>
          </a:p>
        </c:txPr>
        <c:crossAx val="66551072"/>
        <c:crosses val="autoZero"/>
        <c:auto val="1"/>
        <c:lblAlgn val="ctr"/>
        <c:lblOffset val="100"/>
        <c:noMultiLvlLbl val="0"/>
      </c:catAx>
      <c:valAx>
        <c:axId val="66551072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fr-FR"/>
          </a:p>
        </c:txPr>
        <c:crossAx val="66550592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Module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Modules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84-4534-93C3-D26F2C45A7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84-4534-93C3-D26F2C45A7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84-4534-93C3-D26F2C45A7E1}"/>
              </c:ext>
            </c:extLst>
          </c:dPt>
          <c:dLbls>
            <c:dLbl>
              <c:idx val="0"/>
              <c:layout>
                <c:manualLayout>
                  <c:x val="-0.22742042031233239"/>
                  <c:y val="3.9149890441960135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84-4534-93C3-D26F2C45A7E1}"/>
                </c:ext>
              </c:extLst>
            </c:dLbl>
            <c:dLbl>
              <c:idx val="1"/>
              <c:layout>
                <c:manualLayout>
                  <c:x val="0.15237168160926279"/>
                  <c:y val="-5.2199853922613511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84-4534-93C3-D26F2C45A7E1}"/>
                </c:ext>
              </c:extLst>
            </c:dLbl>
            <c:dLbl>
              <c:idx val="2"/>
              <c:layout>
                <c:manualLayout>
                  <c:x val="-0.17511372364049596"/>
                  <c:y val="-6.263982470713619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84-4534-93C3-D26F2C45A7E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Dashboard!$J$13:$J$15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f>Dashboard!$K$13:$K$15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4-4534-93C3-D26F2C45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4" name="Track Completion Chart">
          <a:extLst>
            <a:ext uri="{FF2B5EF4-FFF2-40B4-BE49-F238E27FC236}">
              <a16:creationId xmlns:a16="http://schemas.microsoft.com/office/drawing/2014/main" id="{D909CA0F-77DA-8F14-F741-D8CA51A2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" name="Status Distribution Chart">
          <a:extLst>
            <a:ext uri="{FF2B5EF4-FFF2-40B4-BE49-F238E27FC236}">
              <a16:creationId xmlns:a16="http://schemas.microsoft.com/office/drawing/2014/main" id="{223F1628-D2E8-311C-E75C-3F336D9D2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77A2A-53F6-4BE9-ABE9-C60C0B98715A}" name="LearningTracker" displayName="LearningTracker" ref="A5:G35" totalsRowShown="0" headerRowDxfId="11" dataDxfId="10">
  <autoFilter ref="A5:G35" xr:uid="{59077A2A-53F6-4BE9-ABE9-C60C0B98715A}"/>
  <tableColumns count="7">
    <tableColumn id="1" xr3:uid="{437E0008-DB5A-4128-AA61-C6583ED6A250}" name="#" dataDxfId="9"/>
    <tableColumn id="2" xr3:uid="{AD42CDDA-09BA-4D03-901C-C14334C720CA}" name="LEARNING TRACK" dataDxfId="8"/>
    <tableColumn id="3" xr3:uid="{3820250C-BC85-4698-858B-B098CF7829AA}" name="MODULE / CORE SKILL" dataDxfId="7"/>
    <tableColumn id="4" xr3:uid="{EDB69B0C-16F3-4A1A-89A1-81D9A0FBD3AA}" name="LEVEL" dataDxfId="6"/>
    <tableColumn id="5" xr3:uid="{DDF7BFC5-4932-4375-A312-C21EEBB93FC1}" name="STATUS" dataDxfId="5"/>
    <tableColumn id="6" xr3:uid="{E664C79B-244E-4EA0-9EA6-ED6321AC2225}" name="PROGRESS" dataDxfId="4">
      <calculatedColumnFormula>IF(LearningTracker[[#This Row],[STATUS]]="Done",1,IF(LearningTracker[[#This Row],[STATUS]]="In Progress",0.5,0))</calculatedColumnFormula>
    </tableColumn>
    <tableColumn id="7" xr3:uid="{673B2D7A-2256-4377-AF07-161792ABB47E}" name="FREE-LAB SOURCE" dataDxfId="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zoomScale="88" zoomScaleNormal="88" workbookViewId="0">
      <pane ySplit="4" topLeftCell="A5" activePane="bottomLeft" state="frozen"/>
      <selection pane="bottomLeft" activeCell="G15" sqref="G15"/>
    </sheetView>
  </sheetViews>
  <sheetFormatPr defaultRowHeight="13.8"/>
  <cols>
    <col min="1" max="1" width="20.796875" customWidth="1"/>
    <col min="2" max="4" width="10.296875" customWidth="1"/>
    <col min="5" max="9" width="9.69921875" customWidth="1"/>
    <col min="10" max="10" width="15" customWidth="1"/>
    <col min="11" max="11" width="12.09765625" customWidth="1"/>
    <col min="12" max="15" width="9.69921875" customWidth="1"/>
    <col min="16" max="16" width="12" customWidth="1"/>
  </cols>
  <sheetData>
    <row r="1" spans="1:15" ht="30" customHeight="1">
      <c r="A1" s="42" t="s">
        <v>55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14" customFormat="1" ht="24" customHeight="1">
      <c r="A3" s="43" t="s">
        <v>56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15" s="14" customFormat="1" ht="31.0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s="14" customFormat="1" ht="22.05" customHeight="1">
      <c r="A5" s="41" t="s">
        <v>57</v>
      </c>
      <c r="B5" s="41"/>
      <c r="C5" s="41"/>
      <c r="D5" s="41" t="s">
        <v>58</v>
      </c>
      <c r="E5" s="41"/>
      <c r="F5" s="41"/>
      <c r="G5" s="41" t="s">
        <v>59</v>
      </c>
      <c r="H5" s="41"/>
      <c r="I5" s="41"/>
      <c r="J5" s="41" t="s">
        <v>60</v>
      </c>
      <c r="K5" s="41"/>
      <c r="L5" s="41"/>
      <c r="M5" s="41" t="s">
        <v>61</v>
      </c>
      <c r="N5" s="41"/>
      <c r="O5" s="41"/>
    </row>
    <row r="6" spans="1:15" s="14" customFormat="1" ht="24" customHeight="1">
      <c r="A6" s="38">
        <f>COUNTA(LearningTracker[MODULE / CORE SKILL])</f>
        <v>30</v>
      </c>
      <c r="B6" s="38"/>
      <c r="C6" s="38"/>
      <c r="D6" s="39">
        <f>COUNTIF(LearningTracker[STATUS],"Done")</f>
        <v>0</v>
      </c>
      <c r="E6" s="39"/>
      <c r="F6" s="39"/>
      <c r="G6" s="38">
        <f>COUNTIF(LearningTracker[STATUS],"In Progress")</f>
        <v>0</v>
      </c>
      <c r="H6" s="38"/>
      <c r="I6" s="38"/>
      <c r="J6" s="38">
        <f>COUNTIF(LearningTracker[STATUS],"Not Started")</f>
        <v>30</v>
      </c>
      <c r="K6" s="38"/>
      <c r="L6" s="38"/>
      <c r="M6" s="40">
        <f>IFERROR(COUNTIF(LearningTracker[STATUS],"Done")/COUNTA(LearningTracker[MODULE / CORE SKILL]),0)</f>
        <v>0</v>
      </c>
      <c r="N6" s="38"/>
      <c r="O6" s="38"/>
    </row>
    <row r="7" spans="1:15" s="14" customFormat="1" ht="24" customHeight="1">
      <c r="A7" s="38"/>
      <c r="B7" s="38"/>
      <c r="C7" s="38"/>
      <c r="D7" s="39"/>
      <c r="E7" s="39"/>
      <c r="F7" s="39"/>
      <c r="G7" s="38"/>
      <c r="H7" s="38"/>
      <c r="I7" s="38"/>
      <c r="J7" s="38"/>
      <c r="K7" s="38"/>
      <c r="L7" s="38"/>
      <c r="M7" s="38"/>
      <c r="N7" s="38"/>
      <c r="O7" s="38"/>
    </row>
    <row r="8" spans="1:15" s="14" customFormat="1" ht="24" customHeight="1">
      <c r="A8" s="38"/>
      <c r="B8" s="38"/>
      <c r="C8" s="38"/>
      <c r="D8" s="39"/>
      <c r="E8" s="39"/>
      <c r="F8" s="39"/>
      <c r="G8" s="38"/>
      <c r="H8" s="38"/>
      <c r="I8" s="38"/>
      <c r="J8" s="38"/>
      <c r="K8" s="38"/>
      <c r="L8" s="38"/>
      <c r="M8" s="38"/>
      <c r="N8" s="38"/>
      <c r="O8" s="38"/>
    </row>
    <row r="9" spans="1:15" s="14" customFormat="1" ht="28.9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s="14" customFormat="1" ht="27" customHeight="1">
      <c r="A10" s="35" t="s">
        <v>62</v>
      </c>
      <c r="B10" s="35"/>
      <c r="C10" s="35"/>
      <c r="D10" s="35"/>
      <c r="E10" s="35"/>
      <c r="F10" s="35"/>
      <c r="G10" s="35"/>
      <c r="H10" s="35"/>
      <c r="I10" s="15"/>
      <c r="J10" s="35" t="s">
        <v>63</v>
      </c>
      <c r="K10" s="35"/>
      <c r="L10" s="35"/>
      <c r="M10" s="35"/>
      <c r="N10" s="35"/>
      <c r="O10" s="35"/>
    </row>
    <row r="11" spans="1:15" s="14" customFormat="1" ht="22.95" customHeight="1">
      <c r="A11" s="15"/>
      <c r="B11" s="15"/>
      <c r="C11" s="15"/>
      <c r="D11" s="15"/>
      <c r="E11" s="15"/>
      <c r="F11" s="15"/>
      <c r="G11" s="15"/>
      <c r="H11" s="15"/>
      <c r="I11" s="15"/>
      <c r="J11" s="32"/>
      <c r="K11" s="32"/>
      <c r="L11" s="32"/>
      <c r="M11" s="32"/>
      <c r="N11" s="32"/>
      <c r="O11" s="32"/>
    </row>
    <row r="12" spans="1:15" s="14" customFormat="1" ht="18">
      <c r="A12" s="16" t="s">
        <v>7</v>
      </c>
      <c r="B12" s="16" t="s">
        <v>0</v>
      </c>
      <c r="C12" s="16" t="s">
        <v>1</v>
      </c>
      <c r="D12" s="16" t="s">
        <v>64</v>
      </c>
      <c r="E12" s="15"/>
      <c r="F12" s="15"/>
      <c r="G12" s="15"/>
      <c r="H12" s="15"/>
      <c r="I12" s="15"/>
      <c r="J12" s="33" t="s">
        <v>54</v>
      </c>
      <c r="K12" s="33" t="s">
        <v>0</v>
      </c>
      <c r="L12" s="32"/>
      <c r="M12" s="32"/>
      <c r="N12" s="32"/>
      <c r="O12" s="32"/>
    </row>
    <row r="13" spans="1:15" s="14" customFormat="1" ht="18">
      <c r="A13" s="17" t="s">
        <v>11</v>
      </c>
      <c r="B13" s="18">
        <f>COUNTIF(LearningTracker[LEARNING TRACK],A13)</f>
        <v>5</v>
      </c>
      <c r="C13" s="18">
        <f>COUNTIFS(LearningTracker[LEARNING TRACK],A13,LearningTracker[STATUS],"Done")</f>
        <v>0</v>
      </c>
      <c r="D13" s="19">
        <f>IFERROR(C13/B13,0)</f>
        <v>0</v>
      </c>
      <c r="E13" s="15"/>
      <c r="F13" s="15"/>
      <c r="G13" s="15"/>
      <c r="H13" s="15"/>
      <c r="I13" s="15"/>
      <c r="J13" s="32" t="s">
        <v>5</v>
      </c>
      <c r="K13" s="32">
        <f>COUNTIF(LearningTracker[STATUS],J13)</f>
        <v>30</v>
      </c>
      <c r="L13" s="32"/>
      <c r="M13" s="32"/>
      <c r="N13" s="32"/>
      <c r="O13" s="32"/>
    </row>
    <row r="14" spans="1:15" s="14" customFormat="1" ht="18">
      <c r="A14" s="20" t="s">
        <v>19</v>
      </c>
      <c r="B14" s="21">
        <f>COUNTIF(LearningTracker[LEARNING TRACK],A14)</f>
        <v>10</v>
      </c>
      <c r="C14" s="21">
        <f>COUNTIFS(LearningTracker[LEARNING TRACK],A14,LearningTracker[STATUS],"Done")</f>
        <v>0</v>
      </c>
      <c r="D14" s="22">
        <f>IFERROR(C14/B14,0)</f>
        <v>0</v>
      </c>
      <c r="E14" s="15"/>
      <c r="F14" s="15"/>
      <c r="G14" s="15"/>
      <c r="H14" s="15"/>
      <c r="I14" s="15"/>
      <c r="J14" s="32" t="s">
        <v>4</v>
      </c>
      <c r="K14" s="32">
        <f>COUNTIF(LearningTracker[STATUS],J14)</f>
        <v>0</v>
      </c>
      <c r="L14" s="32"/>
      <c r="M14" s="32"/>
      <c r="N14" s="32"/>
      <c r="O14" s="32"/>
    </row>
    <row r="15" spans="1:15" s="14" customFormat="1" ht="18">
      <c r="A15" s="23" t="s">
        <v>33</v>
      </c>
      <c r="B15" s="24">
        <f>COUNTIF(LearningTracker[LEARNING TRACK],A15)</f>
        <v>10</v>
      </c>
      <c r="C15" s="24">
        <f>COUNTIFS(LearningTracker[LEARNING TRACK],A15,LearningTracker[STATUS],"Done")</f>
        <v>0</v>
      </c>
      <c r="D15" s="25">
        <f>IFERROR(C15/B15,0)</f>
        <v>0</v>
      </c>
      <c r="E15" s="15"/>
      <c r="F15" s="15"/>
      <c r="G15" s="15"/>
      <c r="H15" s="15"/>
      <c r="I15" s="15"/>
      <c r="J15" s="32" t="s">
        <v>65</v>
      </c>
      <c r="K15" s="32">
        <f>COUNTIF(LearningTracker[STATUS],J15)</f>
        <v>0</v>
      </c>
      <c r="L15" s="32"/>
      <c r="M15" s="32"/>
      <c r="N15" s="32"/>
      <c r="O15" s="32"/>
    </row>
    <row r="16" spans="1:15" s="14" customFormat="1" ht="15.6">
      <c r="A16" s="26" t="s">
        <v>45</v>
      </c>
      <c r="B16" s="27">
        <f>COUNTIF(LearningTracker[LEARNING TRACK],A16)</f>
        <v>3</v>
      </c>
      <c r="C16" s="27">
        <f>COUNTIFS(LearningTracker[LEARNING TRACK],A16,LearningTracker[STATUS],"Done")</f>
        <v>0</v>
      </c>
      <c r="D16" s="28">
        <f>IFERROR(C16/B16,0)</f>
        <v>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s="14" customFormat="1" ht="15.6">
      <c r="A17" s="29" t="s">
        <v>50</v>
      </c>
      <c r="B17" s="30">
        <f>COUNTIF(LearningTracker[LEARNING TRACK],A17)</f>
        <v>2</v>
      </c>
      <c r="C17" s="30">
        <f>COUNTIFS(LearningTracker[LEARNING TRACK],A17,LearningTracker[STATUS],"Done")</f>
        <v>0</v>
      </c>
      <c r="D17" s="31">
        <f>IFERROR(C17/B17,0)</f>
        <v>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s="14" customFormat="1" ht="31.9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s="14" customFormat="1" ht="31.95" customHeight="1">
      <c r="A19" s="36" t="s">
        <v>66</v>
      </c>
      <c r="B19" s="36"/>
      <c r="C19" s="36"/>
      <c r="D19" s="36"/>
      <c r="E19" s="36"/>
      <c r="F19" s="36"/>
      <c r="G19" s="36"/>
      <c r="H19" s="36"/>
      <c r="I19" s="37" t="s">
        <v>67</v>
      </c>
      <c r="J19" s="37"/>
      <c r="K19" s="37"/>
      <c r="L19" s="37"/>
      <c r="M19" s="37"/>
      <c r="N19" s="37"/>
      <c r="O19" s="37"/>
    </row>
    <row r="20" spans="1:15" s="14" customFormat="1" ht="24" customHeight="1">
      <c r="A20" s="32"/>
      <c r="B20" s="32"/>
      <c r="C20" s="32"/>
      <c r="D20" s="32"/>
      <c r="E20" s="32"/>
      <c r="F20" s="32"/>
      <c r="G20" s="32"/>
      <c r="H20" s="32"/>
      <c r="I20" s="15"/>
      <c r="J20" s="15"/>
      <c r="K20" s="15"/>
      <c r="L20" s="15"/>
      <c r="M20" s="15"/>
      <c r="N20" s="15"/>
      <c r="O20" s="15"/>
    </row>
    <row r="21" spans="1:15" s="14" customFormat="1" ht="25.95" customHeight="1">
      <c r="A21" s="32"/>
      <c r="B21" s="32"/>
      <c r="C21" s="32"/>
      <c r="D21" s="32"/>
      <c r="E21" s="32"/>
      <c r="F21" s="32"/>
      <c r="G21" s="32"/>
      <c r="H21" s="32"/>
      <c r="I21" s="15"/>
      <c r="J21" s="15"/>
      <c r="K21" s="15"/>
      <c r="L21" s="15"/>
      <c r="M21" s="15"/>
      <c r="N21" s="15"/>
      <c r="O21" s="15"/>
    </row>
    <row r="22" spans="1:15" s="14" customFormat="1" ht="25.95" customHeight="1">
      <c r="A22" s="32"/>
      <c r="B22" s="32"/>
      <c r="C22" s="32"/>
      <c r="D22" s="32"/>
      <c r="E22" s="32"/>
      <c r="F22" s="32"/>
      <c r="G22" s="32"/>
      <c r="H22" s="32"/>
      <c r="I22" s="15"/>
      <c r="J22" s="15"/>
      <c r="K22" s="15"/>
      <c r="L22" s="15"/>
      <c r="M22" s="15"/>
      <c r="N22" s="15"/>
      <c r="O22" s="15"/>
    </row>
    <row r="23" spans="1:15" s="14" customFormat="1" ht="22.95" customHeight="1">
      <c r="A23" s="32"/>
      <c r="B23" s="32"/>
      <c r="C23" s="32"/>
      <c r="D23" s="32"/>
      <c r="E23" s="32"/>
      <c r="F23" s="32"/>
      <c r="G23" s="32"/>
      <c r="H23" s="32"/>
      <c r="I23" s="15"/>
      <c r="J23" s="15"/>
      <c r="K23" s="15"/>
      <c r="L23" s="15"/>
      <c r="M23" s="15"/>
      <c r="N23" s="15"/>
      <c r="O23" s="15"/>
    </row>
    <row r="24" spans="1:15" s="14" customFormat="1" ht="30" customHeight="1">
      <c r="A24" s="32"/>
      <c r="B24" s="32"/>
      <c r="C24" s="32"/>
      <c r="D24" s="32"/>
      <c r="E24" s="32"/>
      <c r="F24" s="32"/>
      <c r="G24" s="32"/>
      <c r="H24" s="32"/>
      <c r="I24" s="15"/>
      <c r="J24" s="15"/>
      <c r="K24" s="15"/>
      <c r="L24" s="15"/>
      <c r="M24" s="15"/>
      <c r="N24" s="15"/>
      <c r="O24" s="15"/>
    </row>
    <row r="25" spans="1:15" s="14" customFormat="1" ht="22.95" customHeight="1">
      <c r="A25" s="32"/>
      <c r="B25" s="32"/>
      <c r="C25" s="32"/>
      <c r="D25" s="32"/>
      <c r="E25" s="32"/>
      <c r="F25" s="32"/>
      <c r="G25" s="32"/>
      <c r="H25" s="32"/>
      <c r="I25" s="15"/>
      <c r="J25" s="15"/>
      <c r="K25" s="15"/>
      <c r="L25" s="15"/>
      <c r="M25" s="15"/>
      <c r="N25" s="15"/>
      <c r="O25" s="15"/>
    </row>
    <row r="26" spans="1:15" s="14" customFormat="1" ht="22.95" customHeight="1">
      <c r="A26" s="32"/>
      <c r="B26" s="32"/>
      <c r="C26" s="32"/>
      <c r="D26" s="32"/>
      <c r="E26" s="32"/>
      <c r="F26" s="32"/>
      <c r="G26" s="32"/>
      <c r="H26" s="32"/>
      <c r="I26" s="15"/>
      <c r="J26" s="15"/>
      <c r="K26" s="15"/>
      <c r="L26" s="15"/>
      <c r="M26" s="15"/>
      <c r="N26" s="15"/>
      <c r="O26" s="15"/>
    </row>
    <row r="27" spans="1:15" s="14" customFormat="1" ht="22.95" customHeight="1">
      <c r="A27" s="32"/>
      <c r="B27" s="32"/>
      <c r="C27" s="32"/>
      <c r="D27" s="32"/>
      <c r="E27" s="32"/>
      <c r="F27" s="32"/>
      <c r="G27" s="32"/>
      <c r="H27" s="32"/>
      <c r="I27" s="15"/>
      <c r="J27" s="15"/>
      <c r="K27" s="15"/>
      <c r="L27" s="15"/>
      <c r="M27" s="15"/>
      <c r="N27" s="15"/>
      <c r="O27" s="15"/>
    </row>
    <row r="28" spans="1:15" s="14" customFormat="1" ht="22.95" customHeight="1">
      <c r="A28" s="32"/>
      <c r="B28" s="32"/>
      <c r="C28" s="32"/>
      <c r="D28" s="32"/>
      <c r="E28" s="32"/>
      <c r="F28" s="32"/>
      <c r="G28" s="32"/>
      <c r="H28" s="32"/>
      <c r="I28" s="15"/>
      <c r="J28" s="15"/>
      <c r="K28" s="15"/>
      <c r="L28" s="15"/>
      <c r="M28" s="15"/>
      <c r="N28" s="15"/>
      <c r="O28" s="15"/>
    </row>
    <row r="29" spans="1:15" s="14" customFormat="1" ht="22.95" customHeight="1">
      <c r="A29" s="32"/>
      <c r="B29" s="32"/>
      <c r="C29" s="32"/>
      <c r="D29" s="32"/>
      <c r="E29" s="32"/>
      <c r="F29" s="32"/>
      <c r="G29" s="32"/>
      <c r="H29" s="32"/>
      <c r="I29" s="15"/>
      <c r="J29" s="15"/>
      <c r="K29" s="15"/>
      <c r="L29" s="15"/>
      <c r="M29" s="15"/>
      <c r="N29" s="15"/>
      <c r="O29" s="15"/>
    </row>
    <row r="30" spans="1:15" s="14" customFormat="1" ht="22.95" customHeight="1">
      <c r="A30" s="32"/>
      <c r="B30" s="32"/>
      <c r="C30" s="32"/>
      <c r="D30" s="32"/>
      <c r="E30" s="32"/>
      <c r="F30" s="32"/>
      <c r="G30" s="32"/>
      <c r="H30" s="32"/>
      <c r="I30" s="15"/>
      <c r="J30" s="15"/>
      <c r="K30" s="15"/>
      <c r="L30" s="15"/>
      <c r="M30" s="15"/>
      <c r="N30" s="15"/>
      <c r="O30" s="15"/>
    </row>
    <row r="31" spans="1:15" s="14" customFormat="1" ht="22.95" customHeight="1">
      <c r="A31" s="32"/>
      <c r="B31" s="32"/>
      <c r="C31" s="32"/>
      <c r="D31" s="32"/>
      <c r="E31" s="32"/>
      <c r="F31" s="32"/>
      <c r="G31" s="32"/>
      <c r="H31" s="32"/>
      <c r="I31" s="15"/>
      <c r="J31" s="15"/>
      <c r="K31" s="15"/>
      <c r="L31" s="15"/>
      <c r="M31" s="15"/>
      <c r="N31" s="15"/>
      <c r="O31" s="15"/>
    </row>
    <row r="32" spans="1:15" s="14" customFormat="1" ht="22.95" customHeight="1">
      <c r="A32" s="32"/>
      <c r="B32" s="32"/>
      <c r="C32" s="32"/>
      <c r="D32" s="32"/>
      <c r="E32" s="32"/>
      <c r="F32" s="32"/>
      <c r="G32" s="32"/>
      <c r="H32" s="32"/>
      <c r="I32" s="15"/>
      <c r="J32" s="15"/>
      <c r="K32" s="15"/>
      <c r="L32" s="15"/>
      <c r="M32" s="15"/>
      <c r="N32" s="15"/>
      <c r="O32" s="15"/>
    </row>
    <row r="33" spans="1:15" s="14" customFormat="1" ht="22.95" customHeight="1">
      <c r="A33" s="32"/>
      <c r="B33" s="32"/>
      <c r="C33" s="32"/>
      <c r="D33" s="32"/>
      <c r="E33" s="32"/>
      <c r="F33" s="32"/>
      <c r="G33" s="32"/>
      <c r="H33" s="32"/>
      <c r="I33" s="15"/>
      <c r="J33" s="15"/>
      <c r="K33" s="15"/>
      <c r="L33" s="15"/>
      <c r="M33" s="15"/>
      <c r="N33" s="15"/>
      <c r="O33" s="15"/>
    </row>
    <row r="34" spans="1:15" s="14" customFormat="1" ht="22.95" customHeight="1">
      <c r="A34" s="32"/>
      <c r="B34" s="32"/>
      <c r="C34" s="32"/>
      <c r="D34" s="32"/>
      <c r="E34" s="32"/>
      <c r="F34" s="32"/>
      <c r="G34" s="32"/>
      <c r="H34" s="32"/>
      <c r="I34" s="15"/>
      <c r="J34" s="15"/>
      <c r="K34" s="15"/>
      <c r="L34" s="15"/>
      <c r="M34" s="15"/>
      <c r="N34" s="15"/>
      <c r="O34" s="15"/>
    </row>
    <row r="35" spans="1:15" ht="22.95" customHeight="1">
      <c r="A35" s="32"/>
      <c r="B35" s="32"/>
      <c r="C35" s="32"/>
      <c r="D35" s="32"/>
      <c r="E35" s="32"/>
      <c r="F35" s="32"/>
      <c r="G35" s="32"/>
      <c r="H35" s="32"/>
      <c r="I35" s="1"/>
      <c r="J35" s="1"/>
      <c r="K35" s="1"/>
      <c r="L35" s="1"/>
      <c r="M35" s="1"/>
      <c r="N35" s="1"/>
      <c r="O35" s="1"/>
    </row>
    <row r="36" spans="1:15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2.95" customHeight="1"/>
    <row r="38" spans="1:15" ht="22.95" customHeight="1"/>
  </sheetData>
  <mergeCells count="16">
    <mergeCell ref="A1:O2"/>
    <mergeCell ref="A3:O3"/>
    <mergeCell ref="A5:C5"/>
    <mergeCell ref="D5:F5"/>
    <mergeCell ref="G5:I5"/>
    <mergeCell ref="J5:L5"/>
    <mergeCell ref="M5:O5"/>
    <mergeCell ref="A10:H10"/>
    <mergeCell ref="J10:O10"/>
    <mergeCell ref="A19:H19"/>
    <mergeCell ref="I19:O19"/>
    <mergeCell ref="A6:C8"/>
    <mergeCell ref="D6:F8"/>
    <mergeCell ref="G6:I8"/>
    <mergeCell ref="J6:L8"/>
    <mergeCell ref="M6:O8"/>
  </mergeCells>
  <conditionalFormatting sqref="D13:D17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{91DD1884-BE95-44A5-8B5F-E9233D6FE82C}</x14:id>
        </ext>
      </extLst>
    </cfRule>
  </conditionalFormatting>
  <pageMargins left="0.7" right="0.7" top="0.75" bottom="0.75" header="0.3" footer="0.3"/>
  <headerFooter>
    <oddFooter>&amp;L_x000D_&amp;1#&amp;"Aptos"&amp;10&amp;K0000FF Interne / Internal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D1884-BE95-44A5-8B5F-E9233D6FE82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D13:D17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tabSelected="1" zoomScale="50" zoomScaleNormal="50" workbookViewId="0">
      <pane ySplit="5" topLeftCell="A6" activePane="bottomLeft" state="frozen"/>
      <selection activeCell="J1" sqref="J1"/>
      <selection pane="bottomLeft" activeCell="E8" sqref="E8"/>
    </sheetView>
  </sheetViews>
  <sheetFormatPr defaultRowHeight="30"/>
  <cols>
    <col min="1" max="1" width="7" style="2" customWidth="1"/>
    <col min="2" max="2" width="32.69921875" style="2" customWidth="1"/>
    <col min="3" max="3" width="69" style="2" customWidth="1"/>
    <col min="4" max="4" width="25.296875" style="2" customWidth="1"/>
    <col min="5" max="5" width="27.19921875" style="2" customWidth="1"/>
    <col min="6" max="6" width="25.69921875" style="2" customWidth="1"/>
    <col min="7" max="7" width="86.3984375" style="2" customWidth="1"/>
    <col min="8" max="8" width="16" style="2" customWidth="1"/>
    <col min="9" max="9" width="45" style="2" customWidth="1"/>
    <col min="10" max="10" width="20" style="2" customWidth="1"/>
    <col min="11" max="11" width="13" style="2" customWidth="1"/>
    <col min="12" max="12" width="17" style="2" customWidth="1"/>
    <col min="13" max="13" width="13" style="2" customWidth="1"/>
    <col min="14" max="16" width="15" style="2" customWidth="1"/>
    <col min="17" max="18" width="13" style="2" customWidth="1"/>
    <col min="19" max="19" width="38" style="2" customWidth="1"/>
    <col min="20" max="20" width="42" style="2" customWidth="1"/>
    <col min="21" max="16384" width="8.796875" style="2"/>
  </cols>
  <sheetData>
    <row r="1" spans="1:7" ht="30" customHeight="1">
      <c r="A1" s="44" t="s">
        <v>53</v>
      </c>
      <c r="B1" s="44"/>
      <c r="C1" s="44"/>
      <c r="D1" s="44"/>
      <c r="E1" s="44"/>
      <c r="F1" s="44"/>
      <c r="G1" s="44"/>
    </row>
    <row r="2" spans="1:7" ht="30" customHeight="1">
      <c r="A2" s="44"/>
      <c r="B2" s="44"/>
      <c r="C2" s="44"/>
      <c r="D2" s="44"/>
      <c r="E2" s="44"/>
      <c r="F2" s="44"/>
      <c r="G2" s="44"/>
    </row>
    <row r="3" spans="1:7" ht="28.8" customHeight="1">
      <c r="A3" s="45" t="s">
        <v>68</v>
      </c>
      <c r="B3" s="45"/>
      <c r="C3" s="45"/>
      <c r="D3" s="45"/>
      <c r="E3" s="45"/>
      <c r="F3" s="45"/>
      <c r="G3" s="45"/>
    </row>
    <row r="4" spans="1:7" ht="31.2">
      <c r="A4" s="3"/>
      <c r="B4" s="3"/>
      <c r="C4" s="3"/>
      <c r="D4" s="3"/>
      <c r="E4" s="3"/>
      <c r="F4" s="3"/>
      <c r="G4" s="3"/>
    </row>
    <row r="5" spans="1:7" ht="31.2">
      <c r="A5" s="34" t="s">
        <v>6</v>
      </c>
      <c r="B5" s="34" t="s">
        <v>7</v>
      </c>
      <c r="C5" s="34" t="s">
        <v>8</v>
      </c>
      <c r="D5" s="34" t="s">
        <v>9</v>
      </c>
      <c r="E5" s="34" t="s">
        <v>54</v>
      </c>
      <c r="F5" s="34" t="s">
        <v>2</v>
      </c>
      <c r="G5" s="34" t="s">
        <v>10</v>
      </c>
    </row>
    <row r="6" spans="1:7" ht="93.6">
      <c r="A6" s="4">
        <v>1</v>
      </c>
      <c r="B6" s="5" t="s">
        <v>11</v>
      </c>
      <c r="C6" s="6" t="s">
        <v>12</v>
      </c>
      <c r="D6" s="7" t="s">
        <v>13</v>
      </c>
      <c r="E6" s="8" t="s">
        <v>5</v>
      </c>
      <c r="F6" s="9">
        <f>IF(LearningTracker[[#This Row],[STATUS]]="Done",1,IF(LearningTracker[[#This Row],[STATUS]]="In Progress",0.5,0))</f>
        <v>0</v>
      </c>
      <c r="G6" s="6" t="s">
        <v>14</v>
      </c>
    </row>
    <row r="7" spans="1:7" ht="93.6">
      <c r="A7" s="4">
        <v>2</v>
      </c>
      <c r="B7" s="5" t="s">
        <v>11</v>
      </c>
      <c r="C7" s="6" t="s">
        <v>15</v>
      </c>
      <c r="D7" s="7" t="s">
        <v>13</v>
      </c>
      <c r="E7" s="8" t="s">
        <v>5</v>
      </c>
      <c r="F7" s="9">
        <f>IF(LearningTracker[[#This Row],[STATUS]]="Done",1,IF(LearningTracker[[#This Row],[STATUS]]="In Progress",0.5,0))</f>
        <v>0</v>
      </c>
      <c r="G7" s="6" t="s">
        <v>14</v>
      </c>
    </row>
    <row r="8" spans="1:7" ht="93.6">
      <c r="A8" s="4">
        <v>3</v>
      </c>
      <c r="B8" s="5" t="s">
        <v>11</v>
      </c>
      <c r="C8" s="6" t="s">
        <v>16</v>
      </c>
      <c r="D8" s="7" t="s">
        <v>13</v>
      </c>
      <c r="E8" s="8" t="s">
        <v>5</v>
      </c>
      <c r="F8" s="9">
        <f>IF(LearningTracker[[#This Row],[STATUS]]="Done",1,IF(LearningTracker[[#This Row],[STATUS]]="In Progress",0.5,0))</f>
        <v>0</v>
      </c>
      <c r="G8" s="6" t="s">
        <v>14</v>
      </c>
    </row>
    <row r="9" spans="1:7" ht="93.6">
      <c r="A9" s="4">
        <v>4</v>
      </c>
      <c r="B9" s="5" t="s">
        <v>11</v>
      </c>
      <c r="C9" s="6" t="s">
        <v>17</v>
      </c>
      <c r="D9" s="7" t="s">
        <v>13</v>
      </c>
      <c r="E9" s="8" t="s">
        <v>5</v>
      </c>
      <c r="F9" s="9">
        <f>IF(LearningTracker[[#This Row],[STATUS]]="Done",1,IF(LearningTracker[[#This Row],[STATUS]]="In Progress",0.5,0))</f>
        <v>0</v>
      </c>
      <c r="G9" s="6" t="s">
        <v>14</v>
      </c>
    </row>
    <row r="10" spans="1:7" ht="93.6">
      <c r="A10" s="4">
        <v>5</v>
      </c>
      <c r="B10" s="5" t="s">
        <v>11</v>
      </c>
      <c r="C10" s="6" t="s">
        <v>18</v>
      </c>
      <c r="D10" s="7" t="s">
        <v>13</v>
      </c>
      <c r="E10" s="8" t="s">
        <v>5</v>
      </c>
      <c r="F10" s="9">
        <f>IF(LearningTracker[[#This Row],[STATUS]]="Done",1,IF(LearningTracker[[#This Row],[STATUS]]="In Progress",0.5,0))</f>
        <v>0</v>
      </c>
      <c r="G10" s="6" t="s">
        <v>14</v>
      </c>
    </row>
    <row r="11" spans="1:7" ht="93.6">
      <c r="A11" s="4">
        <v>6</v>
      </c>
      <c r="B11" s="10" t="s">
        <v>19</v>
      </c>
      <c r="C11" s="6" t="s">
        <v>20</v>
      </c>
      <c r="D11" s="7" t="s">
        <v>21</v>
      </c>
      <c r="E11" s="8" t="s">
        <v>5</v>
      </c>
      <c r="F11" s="9">
        <f>IF(LearningTracker[[#This Row],[STATUS]]="Done",1,IF(LearningTracker[[#This Row],[STATUS]]="In Progress",0.5,0))</f>
        <v>0</v>
      </c>
      <c r="G11" s="6" t="s">
        <v>22</v>
      </c>
    </row>
    <row r="12" spans="1:7" ht="93.6">
      <c r="A12" s="4">
        <v>7</v>
      </c>
      <c r="B12" s="10" t="s">
        <v>19</v>
      </c>
      <c r="C12" s="6" t="s">
        <v>23</v>
      </c>
      <c r="D12" s="7" t="s">
        <v>21</v>
      </c>
      <c r="E12" s="8" t="s">
        <v>5</v>
      </c>
      <c r="F12" s="9">
        <f>IF(LearningTracker[[#This Row],[STATUS]]="Done",1,IF(LearningTracker[[#This Row],[STATUS]]="In Progress",0.5,0))</f>
        <v>0</v>
      </c>
      <c r="G12" s="6" t="s">
        <v>22</v>
      </c>
    </row>
    <row r="13" spans="1:7" ht="93.6">
      <c r="A13" s="4">
        <v>8</v>
      </c>
      <c r="B13" s="10" t="s">
        <v>19</v>
      </c>
      <c r="C13" s="6" t="s">
        <v>24</v>
      </c>
      <c r="D13" s="7" t="s">
        <v>21</v>
      </c>
      <c r="E13" s="8" t="s">
        <v>5</v>
      </c>
      <c r="F13" s="9">
        <f>IF(LearningTracker[[#This Row],[STATUS]]="Done",1,IF(LearningTracker[[#This Row],[STATUS]]="In Progress",0.5,0))</f>
        <v>0</v>
      </c>
      <c r="G13" s="6" t="s">
        <v>22</v>
      </c>
    </row>
    <row r="14" spans="1:7" ht="93.6">
      <c r="A14" s="4">
        <v>9</v>
      </c>
      <c r="B14" s="10" t="s">
        <v>19</v>
      </c>
      <c r="C14" s="6" t="s">
        <v>25</v>
      </c>
      <c r="D14" s="7" t="s">
        <v>26</v>
      </c>
      <c r="E14" s="8" t="s">
        <v>5</v>
      </c>
      <c r="F14" s="9">
        <f>IF(LearningTracker[[#This Row],[STATUS]]="Done",1,IF(LearningTracker[[#This Row],[STATUS]]="In Progress",0.5,0))</f>
        <v>0</v>
      </c>
      <c r="G14" s="6" t="s">
        <v>22</v>
      </c>
    </row>
    <row r="15" spans="1:7" ht="93.6">
      <c r="A15" s="4">
        <v>10</v>
      </c>
      <c r="B15" s="10" t="s">
        <v>19</v>
      </c>
      <c r="C15" s="6" t="s">
        <v>27</v>
      </c>
      <c r="D15" s="7" t="s">
        <v>26</v>
      </c>
      <c r="E15" s="8" t="s">
        <v>5</v>
      </c>
      <c r="F15" s="9">
        <f>IF(LearningTracker[[#This Row],[STATUS]]="Done",1,IF(LearningTracker[[#This Row],[STATUS]]="In Progress",0.5,0))</f>
        <v>0</v>
      </c>
      <c r="G15" s="6" t="s">
        <v>22</v>
      </c>
    </row>
    <row r="16" spans="1:7" ht="93.6">
      <c r="A16" s="4">
        <v>11</v>
      </c>
      <c r="B16" s="10" t="s">
        <v>19</v>
      </c>
      <c r="C16" s="6" t="s">
        <v>28</v>
      </c>
      <c r="D16" s="7" t="s">
        <v>26</v>
      </c>
      <c r="E16" s="8" t="s">
        <v>5</v>
      </c>
      <c r="F16" s="9">
        <f>IF(LearningTracker[[#This Row],[STATUS]]="Done",1,IF(LearningTracker[[#This Row],[STATUS]]="In Progress",0.5,0))</f>
        <v>0</v>
      </c>
      <c r="G16" s="6" t="s">
        <v>22</v>
      </c>
    </row>
    <row r="17" spans="1:7" ht="93.6">
      <c r="A17" s="4">
        <v>12</v>
      </c>
      <c r="B17" s="10" t="s">
        <v>19</v>
      </c>
      <c r="C17" s="6" t="s">
        <v>29</v>
      </c>
      <c r="D17" s="7" t="s">
        <v>26</v>
      </c>
      <c r="E17" s="8" t="s">
        <v>5</v>
      </c>
      <c r="F17" s="9">
        <f>IF(LearningTracker[[#This Row],[STATUS]]="Done",1,IF(LearningTracker[[#This Row],[STATUS]]="In Progress",0.5,0))</f>
        <v>0</v>
      </c>
      <c r="G17" s="6" t="s">
        <v>22</v>
      </c>
    </row>
    <row r="18" spans="1:7" ht="93.6">
      <c r="A18" s="4">
        <v>13</v>
      </c>
      <c r="B18" s="10" t="s">
        <v>19</v>
      </c>
      <c r="C18" s="6" t="s">
        <v>30</v>
      </c>
      <c r="D18" s="7" t="s">
        <v>26</v>
      </c>
      <c r="E18" s="8" t="s">
        <v>5</v>
      </c>
      <c r="F18" s="9">
        <f>IF(LearningTracker[[#This Row],[STATUS]]="Done",1,IF(LearningTracker[[#This Row],[STATUS]]="In Progress",0.5,0))</f>
        <v>0</v>
      </c>
      <c r="G18" s="6" t="s">
        <v>22</v>
      </c>
    </row>
    <row r="19" spans="1:7" ht="93.6">
      <c r="A19" s="4">
        <v>14</v>
      </c>
      <c r="B19" s="10" t="s">
        <v>19</v>
      </c>
      <c r="C19" s="6" t="s">
        <v>31</v>
      </c>
      <c r="D19" s="7" t="s">
        <v>26</v>
      </c>
      <c r="E19" s="8" t="s">
        <v>5</v>
      </c>
      <c r="F19" s="9">
        <f>IF(LearningTracker[[#This Row],[STATUS]]="Done",1,IF(LearningTracker[[#This Row],[STATUS]]="In Progress",0.5,0))</f>
        <v>0</v>
      </c>
      <c r="G19" s="6" t="s">
        <v>22</v>
      </c>
    </row>
    <row r="20" spans="1:7" ht="93.6">
      <c r="A20" s="4">
        <v>15</v>
      </c>
      <c r="B20" s="10" t="s">
        <v>19</v>
      </c>
      <c r="C20" s="6" t="s">
        <v>32</v>
      </c>
      <c r="D20" s="7" t="s">
        <v>26</v>
      </c>
      <c r="E20" s="8" t="s">
        <v>5</v>
      </c>
      <c r="F20" s="9">
        <f>IF(LearningTracker[[#This Row],[STATUS]]="Done",1,IF(LearningTracker[[#This Row],[STATUS]]="In Progress",0.5,0))</f>
        <v>0</v>
      </c>
      <c r="G20" s="6" t="s">
        <v>22</v>
      </c>
    </row>
    <row r="21" spans="1:7" ht="62.4">
      <c r="A21" s="4">
        <v>16</v>
      </c>
      <c r="B21" s="11" t="s">
        <v>33</v>
      </c>
      <c r="C21" s="6" t="s">
        <v>34</v>
      </c>
      <c r="D21" s="7" t="s">
        <v>21</v>
      </c>
      <c r="E21" s="8" t="s">
        <v>5</v>
      </c>
      <c r="F21" s="9">
        <f>IF(LearningTracker[[#This Row],[STATUS]]="Done",1,IF(LearningTracker[[#This Row],[STATUS]]="In Progress",0.5,0))</f>
        <v>0</v>
      </c>
      <c r="G21" s="6" t="s">
        <v>35</v>
      </c>
    </row>
    <row r="22" spans="1:7" ht="62.4">
      <c r="A22" s="4">
        <v>17</v>
      </c>
      <c r="B22" s="11" t="s">
        <v>33</v>
      </c>
      <c r="C22" s="6" t="s">
        <v>36</v>
      </c>
      <c r="D22" s="7" t="s">
        <v>26</v>
      </c>
      <c r="E22" s="8" t="s">
        <v>5</v>
      </c>
      <c r="F22" s="9">
        <f>IF(LearningTracker[[#This Row],[STATUS]]="Done",1,IF(LearningTracker[[#This Row],[STATUS]]="In Progress",0.5,0))</f>
        <v>0</v>
      </c>
      <c r="G22" s="6" t="s">
        <v>35</v>
      </c>
    </row>
    <row r="23" spans="1:7" ht="62.4">
      <c r="A23" s="4">
        <v>18</v>
      </c>
      <c r="B23" s="11" t="s">
        <v>33</v>
      </c>
      <c r="C23" s="6" t="s">
        <v>37</v>
      </c>
      <c r="D23" s="7" t="s">
        <v>26</v>
      </c>
      <c r="E23" s="8" t="s">
        <v>5</v>
      </c>
      <c r="F23" s="9">
        <f>IF(LearningTracker[[#This Row],[STATUS]]="Done",1,IF(LearningTracker[[#This Row],[STATUS]]="In Progress",0.5,0))</f>
        <v>0</v>
      </c>
      <c r="G23" s="6" t="s">
        <v>35</v>
      </c>
    </row>
    <row r="24" spans="1:7" ht="62.4">
      <c r="A24" s="4">
        <v>19</v>
      </c>
      <c r="B24" s="11" t="s">
        <v>33</v>
      </c>
      <c r="C24" s="6" t="s">
        <v>38</v>
      </c>
      <c r="D24" s="7" t="s">
        <v>26</v>
      </c>
      <c r="E24" s="8" t="s">
        <v>5</v>
      </c>
      <c r="F24" s="9">
        <f>IF(LearningTracker[[#This Row],[STATUS]]="Done",1,IF(LearningTracker[[#This Row],[STATUS]]="In Progress",0.5,0))</f>
        <v>0</v>
      </c>
      <c r="G24" s="6" t="s">
        <v>35</v>
      </c>
    </row>
    <row r="25" spans="1:7" ht="62.4">
      <c r="A25" s="4">
        <v>20</v>
      </c>
      <c r="B25" s="11" t="s">
        <v>33</v>
      </c>
      <c r="C25" s="6" t="s">
        <v>39</v>
      </c>
      <c r="D25" s="7" t="s">
        <v>26</v>
      </c>
      <c r="E25" s="8" t="s">
        <v>5</v>
      </c>
      <c r="F25" s="9">
        <f>IF(LearningTracker[[#This Row],[STATUS]]="Done",1,IF(LearningTracker[[#This Row],[STATUS]]="In Progress",0.5,0))</f>
        <v>0</v>
      </c>
      <c r="G25" s="6" t="s">
        <v>35</v>
      </c>
    </row>
    <row r="26" spans="1:7" ht="62.4">
      <c r="A26" s="4">
        <v>21</v>
      </c>
      <c r="B26" s="11" t="s">
        <v>33</v>
      </c>
      <c r="C26" s="6" t="s">
        <v>40</v>
      </c>
      <c r="D26" s="7" t="s">
        <v>21</v>
      </c>
      <c r="E26" s="8" t="s">
        <v>5</v>
      </c>
      <c r="F26" s="9">
        <f>IF(LearningTracker[[#This Row],[STATUS]]="Done",1,IF(LearningTracker[[#This Row],[STATUS]]="In Progress",0.5,0))</f>
        <v>0</v>
      </c>
      <c r="G26" s="6" t="s">
        <v>35</v>
      </c>
    </row>
    <row r="27" spans="1:7" ht="62.4">
      <c r="A27" s="4">
        <v>22</v>
      </c>
      <c r="B27" s="11" t="s">
        <v>33</v>
      </c>
      <c r="C27" s="6" t="s">
        <v>41</v>
      </c>
      <c r="D27" s="7" t="s">
        <v>26</v>
      </c>
      <c r="E27" s="8" t="s">
        <v>5</v>
      </c>
      <c r="F27" s="9">
        <f>IF(LearningTracker[[#This Row],[STATUS]]="Done",1,IF(LearningTracker[[#This Row],[STATUS]]="In Progress",0.5,0))</f>
        <v>0</v>
      </c>
      <c r="G27" s="6" t="s">
        <v>35</v>
      </c>
    </row>
    <row r="28" spans="1:7" ht="62.4">
      <c r="A28" s="4">
        <v>23</v>
      </c>
      <c r="B28" s="11" t="s">
        <v>33</v>
      </c>
      <c r="C28" s="6" t="s">
        <v>42</v>
      </c>
      <c r="D28" s="7" t="s">
        <v>26</v>
      </c>
      <c r="E28" s="8" t="s">
        <v>5</v>
      </c>
      <c r="F28" s="9">
        <f>IF(LearningTracker[[#This Row],[STATUS]]="Done",1,IF(LearningTracker[[#This Row],[STATUS]]="In Progress",0.5,0))</f>
        <v>0</v>
      </c>
      <c r="G28" s="6" t="s">
        <v>35</v>
      </c>
    </row>
    <row r="29" spans="1:7" ht="62.4">
      <c r="A29" s="4">
        <v>24</v>
      </c>
      <c r="B29" s="11" t="s">
        <v>33</v>
      </c>
      <c r="C29" s="6" t="s">
        <v>43</v>
      </c>
      <c r="D29" s="7" t="s">
        <v>26</v>
      </c>
      <c r="E29" s="8" t="s">
        <v>5</v>
      </c>
      <c r="F29" s="9">
        <f>IF(LearningTracker[[#This Row],[STATUS]]="Done",1,IF(LearningTracker[[#This Row],[STATUS]]="In Progress",0.5,0))</f>
        <v>0</v>
      </c>
      <c r="G29" s="6" t="s">
        <v>35</v>
      </c>
    </row>
    <row r="30" spans="1:7" ht="62.4">
      <c r="A30" s="4">
        <v>25</v>
      </c>
      <c r="B30" s="11" t="s">
        <v>33</v>
      </c>
      <c r="C30" s="6" t="s">
        <v>44</v>
      </c>
      <c r="D30" s="7" t="s">
        <v>26</v>
      </c>
      <c r="E30" s="8" t="s">
        <v>5</v>
      </c>
      <c r="F30" s="9">
        <f>IF(LearningTracker[[#This Row],[STATUS]]="Done",1,IF(LearningTracker[[#This Row],[STATUS]]="In Progress",0.5,0))</f>
        <v>0</v>
      </c>
      <c r="G30" s="6" t="s">
        <v>35</v>
      </c>
    </row>
    <row r="31" spans="1:7" ht="62.4">
      <c r="A31" s="4">
        <v>26</v>
      </c>
      <c r="B31" s="12" t="s">
        <v>45</v>
      </c>
      <c r="C31" s="6" t="s">
        <v>46</v>
      </c>
      <c r="D31" s="7" t="s">
        <v>26</v>
      </c>
      <c r="E31" s="8" t="s">
        <v>5</v>
      </c>
      <c r="F31" s="9">
        <f>IF(LearningTracker[[#This Row],[STATUS]]="Done",1,IF(LearningTracker[[#This Row],[STATUS]]="In Progress",0.5,0))</f>
        <v>0</v>
      </c>
      <c r="G31" s="6" t="s">
        <v>47</v>
      </c>
    </row>
    <row r="32" spans="1:7" ht="62.4">
      <c r="A32" s="4">
        <v>27</v>
      </c>
      <c r="B32" s="12" t="s">
        <v>45</v>
      </c>
      <c r="C32" s="6" t="s">
        <v>48</v>
      </c>
      <c r="D32" s="7" t="s">
        <v>26</v>
      </c>
      <c r="E32" s="8" t="s">
        <v>5</v>
      </c>
      <c r="F32" s="9">
        <f>IF(LearningTracker[[#This Row],[STATUS]]="Done",1,IF(LearningTracker[[#This Row],[STATUS]]="In Progress",0.5,0))</f>
        <v>0</v>
      </c>
      <c r="G32" s="6" t="s">
        <v>47</v>
      </c>
    </row>
    <row r="33" spans="1:7" ht="62.4">
      <c r="A33" s="4">
        <v>28</v>
      </c>
      <c r="B33" s="12" t="s">
        <v>45</v>
      </c>
      <c r="C33" s="6" t="s">
        <v>49</v>
      </c>
      <c r="D33" s="7" t="s">
        <v>26</v>
      </c>
      <c r="E33" s="8" t="s">
        <v>5</v>
      </c>
      <c r="F33" s="9">
        <f>IF(LearningTracker[[#This Row],[STATUS]]="Done",1,IF(LearningTracker[[#This Row],[STATUS]]="In Progress",0.5,0))</f>
        <v>0</v>
      </c>
      <c r="G33" s="6" t="s">
        <v>47</v>
      </c>
    </row>
    <row r="34" spans="1:7" ht="70.2" customHeight="1">
      <c r="A34" s="4">
        <v>29</v>
      </c>
      <c r="B34" s="13" t="s">
        <v>50</v>
      </c>
      <c r="C34" s="6" t="s">
        <v>51</v>
      </c>
      <c r="D34" s="7" t="s">
        <v>3</v>
      </c>
      <c r="E34" s="8" t="s">
        <v>5</v>
      </c>
      <c r="F34" s="9">
        <f>IF(LearningTracker[[#This Row],[STATUS]]="Done",1,IF(LearningTracker[[#This Row],[STATUS]]="In Progress",0.5,0))</f>
        <v>0</v>
      </c>
      <c r="G34" s="6" t="s">
        <v>47</v>
      </c>
    </row>
    <row r="35" spans="1:7" ht="60" customHeight="1">
      <c r="A35" s="4">
        <v>30</v>
      </c>
      <c r="B35" s="13" t="s">
        <v>50</v>
      </c>
      <c r="C35" s="6" t="s">
        <v>52</v>
      </c>
      <c r="D35" s="7" t="s">
        <v>3</v>
      </c>
      <c r="E35" s="8" t="s">
        <v>5</v>
      </c>
      <c r="F35" s="9">
        <f>IF(LearningTracker[[#This Row],[STATUS]]="Done",1,IF(LearningTracker[[#This Row],[STATUS]]="In Progress",0.5,0))</f>
        <v>0</v>
      </c>
      <c r="G35" s="6" t="s">
        <v>47</v>
      </c>
    </row>
    <row r="36" spans="1:7" ht="48" customHeight="1">
      <c r="A36" s="3"/>
      <c r="B36" s="3"/>
      <c r="C36" s="3"/>
      <c r="D36" s="3"/>
      <c r="E36" s="3"/>
      <c r="F36" s="3"/>
      <c r="G36" s="3"/>
    </row>
    <row r="37" spans="1:7" ht="48" customHeight="1">
      <c r="A37" s="3"/>
      <c r="B37" s="3"/>
      <c r="C37" s="3"/>
      <c r="D37" s="3"/>
      <c r="E37" s="3"/>
      <c r="F37" s="3"/>
      <c r="G37" s="3"/>
    </row>
    <row r="38" spans="1:7" ht="16.05" customHeight="1">
      <c r="A38" s="3"/>
      <c r="B38" s="3"/>
      <c r="C38" s="3"/>
      <c r="D38" s="3"/>
      <c r="E38" s="3"/>
      <c r="F38" s="3"/>
      <c r="G38" s="3"/>
    </row>
    <row r="39" spans="1:7" ht="31.95" customHeight="1">
      <c r="A39" s="3"/>
      <c r="B39" s="3"/>
      <c r="C39" s="3"/>
      <c r="D39" s="3"/>
      <c r="E39" s="3"/>
      <c r="F39" s="3"/>
      <c r="G39" s="3"/>
    </row>
  </sheetData>
  <mergeCells count="2">
    <mergeCell ref="A1:G2"/>
    <mergeCell ref="A3:G3"/>
  </mergeCells>
  <conditionalFormatting sqref="E6:E35">
    <cfRule type="expression" dxfId="2" priority="1">
      <formula>$E6="Done"</formula>
    </cfRule>
    <cfRule type="expression" dxfId="1" priority="2">
      <formula>$E6="In Progress"</formula>
    </cfRule>
    <cfRule type="expression" dxfId="0" priority="3">
      <formula>$E6="Not Started"</formula>
    </cfRule>
  </conditionalFormatting>
  <conditionalFormatting sqref="F6:F35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{41BD1B47-5647-4E44-A0ED-63A53FE63A85}</x14:id>
        </ext>
      </extLst>
    </cfRule>
  </conditionalFormatting>
  <dataValidations count="1">
    <dataValidation type="list" allowBlank="1" showInputMessage="1" showErrorMessage="1" errorTitle="Select a valid status" error="Choose Not Started, In Progress, or Done." promptTitle="Module status" prompt="This is the only input that controls progress and the dashboard." sqref="E6:E35" xr:uid="{C44BB4E1-D3E0-4C81-B02B-0B8AC195F53A}">
      <formula1>"Not Started,In Progress,Done"</formula1>
    </dataValidation>
  </dataValidations>
  <pageMargins left="0.7" right="0.7" top="0.75" bottom="0.75" header="0.3" footer="0.3"/>
  <headerFooter>
    <oddFooter>&amp;L_x000D_&amp;1#&amp;"Aptos"&amp;10&amp;K0000FF Interne / 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D1B47-5647-4E44-A0ED-63A53FE63A8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F6:F35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749c72b-576f-466e-b1e3-26c93f36d0c5}" enabled="1" method="Standard" siteId="{c4e3401b-f93d-4fc7-9a42-f1552dec34d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Anass Rharif</cp:lastModifiedBy>
  <dcterms:modified xsi:type="dcterms:W3CDTF">2026-10-24T17:12:05Z</dcterms:modified>
</cp:coreProperties>
</file>